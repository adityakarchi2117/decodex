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ck_KPIs" sheetId="1" state="visible" r:id="rId1"/>
    <sheet xmlns:r="http://schemas.openxmlformats.org/officeDocument/2006/relationships" name="Delta_vs_Y2" sheetId="2" state="visible" r:id="rId2"/>
    <sheet xmlns:r="http://schemas.openxmlformats.org/officeDocument/2006/relationships" name="SKU_Mix_Shift" sheetId="3" state="visible" r:id="rId3"/>
    <sheet xmlns:r="http://schemas.openxmlformats.org/officeDocument/2006/relationships" name="ERPU_Decomposition" sheetId="4" state="visible" r:id="rId4"/>
    <sheet xmlns:r="http://schemas.openxmlformats.org/officeDocument/2006/relationships" name="ModuleA_Metrics" sheetId="5" state="visible" r:id="rId5"/>
    <sheet xmlns:r="http://schemas.openxmlformats.org/officeDocument/2006/relationships" name="ModuleA_Drivers" sheetId="6" state="visible" r:id="rId6"/>
    <sheet xmlns:r="http://schemas.openxmlformats.org/officeDocument/2006/relationships" name="ModuleA_Calibration" sheetId="7" state="visible" r:id="rId7"/>
    <sheet xmlns:r="http://schemas.openxmlformats.org/officeDocument/2006/relationships" name="ModuleB_Metrics" sheetId="8" state="visible" r:id="rId8"/>
    <sheet xmlns:r="http://schemas.openxmlformats.org/officeDocument/2006/relationships" name="ModuleB_Coefficients" sheetId="9" state="visible" r:id="rId9"/>
    <sheet xmlns:r="http://schemas.openxmlformats.org/officeDocument/2006/relationships" name="BasketValue_Model" sheetId="10" state="visible" r:id="rId10"/>
    <sheet xmlns:r="http://schemas.openxmlformats.org/officeDocument/2006/relationships" name="Bootstrap_CI" sheetId="11" state="visible" r:id="rId11"/>
    <sheet xmlns:r="http://schemas.openxmlformats.org/officeDocument/2006/relationships" name="Sensitivity_Analysis" sheetId="12" state="visible" r:id="rId12"/>
    <sheet xmlns:r="http://schemas.openxmlformats.org/officeDocument/2006/relationships" name="Cluster_Stability" sheetId="13" state="visible" r:id="rId13"/>
    <sheet xmlns:r="http://schemas.openxmlformats.org/officeDocument/2006/relationships" name="_ChartData" sheetId="14" state="visible" r:id="rId14"/>
  </sheets>
  <definedNames>
    <definedName name="_xlnm._FilterDatabase" localSheetId="0" hidden="1">'Shock_KPIs'!$A$1:$N$3</definedName>
    <definedName name="_xlnm._FilterDatabase" localSheetId="1" hidden="1">'Delta_vs_Y2'!$A$1:$E$14</definedName>
    <definedName name="_xlnm._FilterDatabase" localSheetId="2" hidden="1">'SKU_Mix_Shift'!$A$1:$E$3</definedName>
    <definedName name="_xlnm._FilterDatabase" localSheetId="3" hidden="1">'ERPU_Decomposition'!$A$1:$H$3</definedName>
    <definedName name="_xlnm._FilterDatabase" localSheetId="4" hidden="1">'ModuleA_Metrics'!$A$1:$B$5</definedName>
    <definedName name="_xlnm._FilterDatabase" localSheetId="5" hidden="1">'ModuleA_Drivers'!$A$1:$C$8</definedName>
    <definedName name="_xlnm._FilterDatabase" localSheetId="6" hidden="1">'ModuleA_Calibration'!$A$1:$E$11</definedName>
    <definedName name="_xlnm._FilterDatabase" localSheetId="7" hidden="1">'ModuleB_Metrics'!$A$1:$B$7</definedName>
    <definedName name="_xlnm._FilterDatabase" localSheetId="8" hidden="1">'ModuleB_Coefficients'!$A$1:$F$9</definedName>
    <definedName name="_xlnm._FilterDatabase" localSheetId="9" hidden="1">'BasketValue_Model'!$A$1:$F$8</definedName>
    <definedName name="_xlnm._FilterDatabase" localSheetId="10" hidden="1">'Bootstrap_CI'!$A$1:$F$7</definedName>
    <definedName name="_xlnm._FilterDatabase" localSheetId="11" hidden="1">'Sensitivity_Analysis'!$A$1:$F$11</definedName>
    <definedName name="_xlnm._FilterDatabase" localSheetId="12" hidden="1">'Cluster_Stability'!$A$1:$B$7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Metrics: Baseline vs Shock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'_ChartData'!$A$2:$A$5</f>
            </numRef>
          </cat>
          <val>
            <numRef>
              <f>'_ChartData'!$B$2:$B$5</f>
            </numRef>
          </val>
        </ser>
        <ser>
          <idx val="1"/>
          <order val="1"/>
          <tx>
            <strRef>
              <f>'_ChartData'!C1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'_ChartData'!$A$2:$A$5</f>
            </numRef>
          </cat>
          <val>
            <numRef>
              <f>'_ChartData'!$C$2:$C$5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4" customWidth="1" min="6" max="6"/>
    <col width="20" customWidth="1" min="7" max="7"/>
    <col width="21" customWidth="1" min="8" max="8"/>
    <col width="20" customWidth="1" min="9" max="9"/>
    <col width="19" customWidth="1" min="10" max="10"/>
    <col width="21" customWidth="1" min="11" max="11"/>
    <col width="21" customWidth="1" min="12" max="12"/>
    <col width="20" customWidth="1" min="13" max="13"/>
    <col width="21" customWidth="1" min="14" max="14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users</t>
        </is>
      </c>
      <c r="D1" s="1" t="inlineStr">
        <is>
          <t>baskets</t>
        </is>
      </c>
      <c r="E1" s="1" t="inlineStr">
        <is>
          <t>gross</t>
        </is>
      </c>
      <c r="F1" s="1" t="inlineStr">
        <is>
          <t>returns</t>
        </is>
      </c>
      <c r="G1" s="1" t="inlineStr">
        <is>
          <t>net</t>
        </is>
      </c>
      <c r="H1" s="1" t="inlineStr">
        <is>
          <t>return_pct_of_gross</t>
        </is>
      </c>
      <c r="I1" s="1" t="inlineStr">
        <is>
          <t>erpu_mean</t>
        </is>
      </c>
      <c r="J1" s="1" t="inlineStr">
        <is>
          <t>erpu_median</t>
        </is>
      </c>
      <c r="K1" s="1" t="inlineStr">
        <is>
          <t>top10_user_share</t>
        </is>
      </c>
      <c r="L1" s="1" t="inlineStr">
        <is>
          <t>top1_user_share</t>
        </is>
      </c>
      <c r="M1" s="1" t="inlineStr">
        <is>
          <t>gini_coefficient</t>
        </is>
      </c>
      <c r="N1" s="1" t="inlineStr">
        <is>
          <t>top1_basket_share</t>
        </is>
      </c>
    </row>
    <row r="2">
      <c r="A2" t="inlineStr">
        <is>
          <t>Baseline_Y2</t>
        </is>
      </c>
      <c r="B2" t="n">
        <v>323055</v>
      </c>
      <c r="C2" t="n">
        <v>4068</v>
      </c>
      <c r="D2" t="n">
        <v>17691</v>
      </c>
      <c r="E2" t="n">
        <v>1779029496.42</v>
      </c>
      <c r="F2" t="n">
        <v>138640104.24</v>
      </c>
      <c r="G2" t="n">
        <v>1640389392.18</v>
      </c>
      <c r="H2" t="n">
        <v>7.793018863317898</v>
      </c>
      <c r="I2" t="n">
        <v>403242.2301327434</v>
      </c>
      <c r="J2" t="n">
        <v>185273.015</v>
      </c>
      <c r="K2" t="n">
        <v>0.5203166901339867</v>
      </c>
      <c r="L2" t="n">
        <v>0.2026185883696136</v>
      </c>
      <c r="M2" t="n">
        <v>0.6357436947844802</v>
      </c>
      <c r="N2" t="n">
        <v>0.1517703159364745</v>
      </c>
    </row>
    <row r="3">
      <c r="A3" t="inlineStr">
        <is>
          <t>Shock</t>
        </is>
      </c>
      <c r="B3" t="n">
        <v>42153</v>
      </c>
      <c r="C3" t="n">
        <v>1423</v>
      </c>
      <c r="D3" t="n">
        <v>2282</v>
      </c>
      <c r="E3" t="n">
        <v>219914331.12</v>
      </c>
      <c r="F3" t="n">
        <v>10595030.2</v>
      </c>
      <c r="G3" t="n">
        <v>209319300.92</v>
      </c>
      <c r="H3" t="n">
        <v>4.817798888340133</v>
      </c>
      <c r="I3" t="n">
        <v>147097.1896837667</v>
      </c>
      <c r="J3" t="n">
        <v>95005.10999999999</v>
      </c>
      <c r="K3" t="n">
        <v>0.4218128852997891</v>
      </c>
      <c r="L3" t="n">
        <v>0.1286749889361325</v>
      </c>
      <c r="M3" t="n">
        <v>0.5565753621066875</v>
      </c>
      <c r="N3" t="n">
        <v>0.08841021897485134</v>
      </c>
    </row>
  </sheetData>
  <autoFilter ref="A1:N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s="1" t="inlineStr">
        <is>
          <t>metric</t>
        </is>
      </c>
      <c r="B1" s="1" t="inlineStr">
        <is>
          <t>baseline_y2</t>
        </is>
      </c>
      <c r="C1" s="1" t="inlineStr">
        <is>
          <t>shock</t>
        </is>
      </c>
      <c r="D1" s="1" t="inlineStr">
        <is>
          <t>delta</t>
        </is>
      </c>
      <c r="E1" s="1" t="inlineStr">
        <is>
          <t>delta_pct</t>
        </is>
      </c>
    </row>
    <row r="2">
      <c r="A2" t="inlineStr">
        <is>
          <t>rows</t>
        </is>
      </c>
      <c r="B2" t="n">
        <v>323055</v>
      </c>
      <c r="C2" t="n">
        <v>42153</v>
      </c>
      <c r="D2" t="n">
        <v>-280902</v>
      </c>
      <c r="E2" t="n">
        <v>-86.95175744068348</v>
      </c>
    </row>
    <row r="3">
      <c r="A3" t="inlineStr">
        <is>
          <t>users</t>
        </is>
      </c>
      <c r="B3" t="n">
        <v>4068</v>
      </c>
      <c r="C3" t="n">
        <v>1423</v>
      </c>
      <c r="D3" t="n">
        <v>-2645</v>
      </c>
      <c r="E3" t="n">
        <v>-65.0196656833825</v>
      </c>
    </row>
    <row r="4">
      <c r="A4" t="inlineStr">
        <is>
          <t>baskets</t>
        </is>
      </c>
      <c r="B4" t="n">
        <v>17691</v>
      </c>
      <c r="C4" t="n">
        <v>2282</v>
      </c>
      <c r="D4" t="n">
        <v>-15409</v>
      </c>
      <c r="E4" t="n">
        <v>-87.10078571024815</v>
      </c>
    </row>
    <row r="5">
      <c r="A5" t="inlineStr">
        <is>
          <t>gross</t>
        </is>
      </c>
      <c r="B5" t="n">
        <v>1779029496.42</v>
      </c>
      <c r="C5" t="n">
        <v>219914331.12</v>
      </c>
      <c r="D5" t="n">
        <v>-1559115165.3</v>
      </c>
      <c r="E5" t="n">
        <v>-87.63852248866358</v>
      </c>
    </row>
    <row r="6">
      <c r="A6" t="inlineStr">
        <is>
          <t>returns</t>
        </is>
      </c>
      <c r="B6" t="n">
        <v>138640104.24</v>
      </c>
      <c r="C6" t="n">
        <v>10595030.2</v>
      </c>
      <c r="D6" t="n">
        <v>-128045074.04</v>
      </c>
      <c r="E6" t="n">
        <v>-92.35788932929614</v>
      </c>
    </row>
    <row r="7">
      <c r="A7" t="inlineStr">
        <is>
          <t>net</t>
        </is>
      </c>
      <c r="B7" t="n">
        <v>1640389392.18</v>
      </c>
      <c r="C7" t="n">
        <v>209319300.92</v>
      </c>
      <c r="D7" t="n">
        <v>-1431070091.26</v>
      </c>
      <c r="E7" t="n">
        <v>-87.23965773505616</v>
      </c>
    </row>
    <row r="8">
      <c r="A8" t="inlineStr">
        <is>
          <t>return_pct_of_gross</t>
        </is>
      </c>
      <c r="B8" t="n">
        <v>7.793018863317898</v>
      </c>
      <c r="C8" t="n">
        <v>4.817798888340133</v>
      </c>
      <c r="D8" t="n">
        <v>-2.975219974977765</v>
      </c>
      <c r="E8" t="n">
        <v>-38.17801582621934</v>
      </c>
    </row>
    <row r="9">
      <c r="A9" t="inlineStr">
        <is>
          <t>erpu_mean</t>
        </is>
      </c>
      <c r="B9" t="n">
        <v>403242.2301327434</v>
      </c>
      <c r="C9" t="n">
        <v>147097.1896837667</v>
      </c>
      <c r="D9" t="n">
        <v>-256145.0404489767</v>
      </c>
      <c r="E9" t="n">
        <v>-63.52138275910642</v>
      </c>
    </row>
    <row r="10">
      <c r="A10" t="inlineStr">
        <is>
          <t>erpu_median</t>
        </is>
      </c>
      <c r="B10" t="n">
        <v>185273.015</v>
      </c>
      <c r="C10" t="n">
        <v>95005.10999999999</v>
      </c>
      <c r="D10" t="n">
        <v>-90267.90500000003</v>
      </c>
      <c r="E10" t="n">
        <v>-48.72156098933243</v>
      </c>
    </row>
    <row r="11">
      <c r="A11" t="inlineStr">
        <is>
          <t>top10_user_share</t>
        </is>
      </c>
      <c r="B11" t="n">
        <v>0.5203166901339867</v>
      </c>
      <c r="C11" t="n">
        <v>0.4218128852997891</v>
      </c>
      <c r="D11" t="n">
        <v>-0.09850380483419768</v>
      </c>
      <c r="E11" t="n">
        <v>-18.93150973281906</v>
      </c>
    </row>
    <row r="12">
      <c r="A12" t="inlineStr">
        <is>
          <t>top1_user_share</t>
        </is>
      </c>
      <c r="B12" t="n">
        <v>0.2026185883696136</v>
      </c>
      <c r="C12" t="n">
        <v>0.1286749889361325</v>
      </c>
      <c r="D12" t="n">
        <v>-0.07394359943348106</v>
      </c>
      <c r="E12" t="n">
        <v>-36.49398607920135</v>
      </c>
    </row>
    <row r="13">
      <c r="A13" t="inlineStr">
        <is>
          <t>gini_coefficient</t>
        </is>
      </c>
      <c r="B13" t="n">
        <v>0.6357436947844802</v>
      </c>
      <c r="C13" t="n">
        <v>0.5565753621066875</v>
      </c>
      <c r="D13" t="n">
        <v>-0.07916833267779277</v>
      </c>
      <c r="E13" t="n">
        <v>-12.45286950185659</v>
      </c>
    </row>
    <row r="14">
      <c r="A14" t="inlineStr">
        <is>
          <t>top1_basket_share</t>
        </is>
      </c>
      <c r="B14" t="n">
        <v>0.1517703159364745</v>
      </c>
      <c r="C14" t="n">
        <v>0.08841021897485134</v>
      </c>
      <c r="D14" t="n">
        <v>-0.06336009696162319</v>
      </c>
      <c r="E14" t="n">
        <v>-41.74735788791755</v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23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top10_products_share_returns</t>
        </is>
      </c>
      <c r="C1" s="1" t="inlineStr">
        <is>
          <t>top10_products_share_net</t>
        </is>
      </c>
      <c r="D1" s="1" t="inlineStr">
        <is>
          <t>hhi_product_net</t>
        </is>
      </c>
      <c r="E1" s="1" t="inlineStr">
        <is>
          <t>n_products</t>
        </is>
      </c>
    </row>
    <row r="2">
      <c r="A2" t="inlineStr">
        <is>
          <t>Baseline_Y2</t>
        </is>
      </c>
      <c r="B2" t="n">
        <v>0.8087612955476233</v>
      </c>
      <c r="C2" t="n">
        <v>0.07409699498755509</v>
      </c>
      <c r="D2" t="n">
        <v>0.002077899777867126</v>
      </c>
      <c r="E2" t="n">
        <v>3634</v>
      </c>
    </row>
    <row r="3">
      <c r="A3" t="inlineStr">
        <is>
          <t>Shock</t>
        </is>
      </c>
      <c r="B3" t="n">
        <v>0.7252490294930919</v>
      </c>
      <c r="C3" t="n">
        <v>0.07332680915013252</v>
      </c>
      <c r="D3" t="n">
        <v>0.001757694089161861</v>
      </c>
      <c r="E3" t="n">
        <v>3045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dataset</t>
        </is>
      </c>
      <c r="B1" s="1" t="inlineStr">
        <is>
          <t>E_freq</t>
        </is>
      </c>
      <c r="C1" s="1" t="inlineStr">
        <is>
          <t>E_basket_gross</t>
        </is>
      </c>
      <c r="D1" s="1" t="inlineStr">
        <is>
          <t>E_basket_net</t>
        </is>
      </c>
      <c r="E1" s="1" t="inlineStr">
        <is>
          <t>E_return_rate</t>
        </is>
      </c>
      <c r="F1" s="1" t="inlineStr">
        <is>
          <t>ERPU_structural</t>
        </is>
      </c>
      <c r="G1" s="1" t="inlineStr">
        <is>
          <t>ERPU_direct</t>
        </is>
      </c>
      <c r="H1" s="1" t="inlineStr">
        <is>
          <t>ERPU_actual</t>
        </is>
      </c>
    </row>
    <row r="2">
      <c r="A2" t="inlineStr">
        <is>
          <t>Baseline_Y2</t>
        </is>
      </c>
      <c r="B2" t="n">
        <v>3.629301868239921</v>
      </c>
      <c r="C2" t="n">
        <v>100561.2738918094</v>
      </c>
      <c r="D2" t="n">
        <v>92724.5148482279</v>
      </c>
      <c r="E2" t="n">
        <v>0.07793018863317898</v>
      </c>
      <c r="F2" t="n">
        <v>336525.2549703139</v>
      </c>
      <c r="G2" t="n">
        <v>336525.2549703139</v>
      </c>
      <c r="H2" t="n">
        <v>403242.2301327434</v>
      </c>
    </row>
    <row r="3">
      <c r="A3" t="inlineStr">
        <is>
          <t>Shock</t>
        </is>
      </c>
      <c r="B3" t="n">
        <v>1.345045678144765</v>
      </c>
      <c r="C3" t="n">
        <v>96369.11968448729</v>
      </c>
      <c r="D3" t="n">
        <v>91726.24930762488</v>
      </c>
      <c r="E3" t="n">
        <v>0.04817798888340133</v>
      </c>
      <c r="F3" t="n">
        <v>123375.9952036501</v>
      </c>
      <c r="G3" t="n">
        <v>123375.99520365</v>
      </c>
      <c r="H3" t="n">
        <v>147097.1896837667</v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AUC</t>
        </is>
      </c>
      <c r="B2" t="n">
        <v>0.7883678609485061</v>
      </c>
    </row>
    <row r="3">
      <c r="A3" t="inlineStr">
        <is>
          <t>Brier_score</t>
        </is>
      </c>
      <c r="B3" t="n">
        <v>0.1337637074785317</v>
      </c>
    </row>
    <row r="4">
      <c r="A4" t="inlineStr">
        <is>
          <t>Top_decile_lift</t>
        </is>
      </c>
      <c r="B4" t="n">
        <v>3.177880960139025</v>
      </c>
    </row>
    <row r="5">
      <c r="A5" t="inlineStr">
        <is>
          <t>Calibration_gap_mean</t>
        </is>
      </c>
      <c r="B5" t="n">
        <v>0.04147205248570936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0" customWidth="1" min="3" max="3"/>
  </cols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odds_ratio</t>
        </is>
      </c>
    </row>
    <row r="2">
      <c r="A2" t="inlineStr">
        <is>
          <t>frequency</t>
        </is>
      </c>
      <c r="B2" t="n">
        <v>0.9396530521542503</v>
      </c>
      <c r="C2" t="n">
        <v>2.559093392349281</v>
      </c>
    </row>
    <row r="3">
      <c r="A3" t="inlineStr">
        <is>
          <t>net_total</t>
        </is>
      </c>
      <c r="B3" t="n">
        <v>0.3332809648567753</v>
      </c>
      <c r="C3" t="n">
        <v>1.395539340903193</v>
      </c>
    </row>
    <row r="4">
      <c r="A4" t="inlineStr">
        <is>
          <t>n_events</t>
        </is>
      </c>
      <c r="B4" t="n">
        <v>0.2180498663834144</v>
      </c>
      <c r="C4" t="n">
        <v>1.243649082354797</v>
      </c>
    </row>
    <row r="5">
      <c r="A5" t="inlineStr">
        <is>
          <t>avg_basket_gross</t>
        </is>
      </c>
      <c r="B5" t="n">
        <v>0.1361529801512132</v>
      </c>
      <c r="C5" t="n">
        <v>1.145857173591025</v>
      </c>
    </row>
    <row r="6">
      <c r="A6" t="inlineStr">
        <is>
          <t>return_rate_value</t>
        </is>
      </c>
      <c r="B6" t="n">
        <v>-0.07524552834114916</v>
      </c>
      <c r="C6" t="n">
        <v>0.9275157269711755</v>
      </c>
    </row>
    <row r="7">
      <c r="A7" t="inlineStr">
        <is>
          <t>gross_total</t>
        </is>
      </c>
      <c r="B7" t="n">
        <v>-0.3518311475619256</v>
      </c>
      <c r="C7" t="n">
        <v>0.7033988825658113</v>
      </c>
    </row>
    <row r="8">
      <c r="A8" t="inlineStr">
        <is>
          <t>recency_days</t>
        </is>
      </c>
      <c r="B8" t="n">
        <v>-0.5937748883348819</v>
      </c>
      <c r="C8" t="n">
        <v>0.5522387056901406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10" customWidth="1" min="4" max="4"/>
    <col width="23" customWidth="1" min="5" max="5"/>
  </cols>
  <sheetData>
    <row r="1">
      <c r="A1" s="1" t="inlineStr">
        <is>
          <t>decile</t>
        </is>
      </c>
      <c r="B1" s="1" t="inlineStr">
        <is>
          <t>pred_mean</t>
        </is>
      </c>
      <c r="C1" s="1" t="inlineStr">
        <is>
          <t>obs_rate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</v>
      </c>
      <c r="B2" t="n">
        <v>0.03213023734927649</v>
      </c>
      <c r="C2" t="n">
        <v>0.03787878787878788</v>
      </c>
      <c r="D2" t="n">
        <v>132</v>
      </c>
      <c r="E2" t="n">
        <v>0.005748550529511391</v>
      </c>
    </row>
    <row r="3">
      <c r="A3" t="n">
        <v>1</v>
      </c>
      <c r="B3" t="n">
        <v>0.06167321598032473</v>
      </c>
      <c r="C3" t="n">
        <v>0.06106870229007633</v>
      </c>
      <c r="D3" t="n">
        <v>131</v>
      </c>
      <c r="E3" t="n">
        <v>0.0006045136902483941</v>
      </c>
    </row>
    <row r="4">
      <c r="A4" t="n">
        <v>2</v>
      </c>
      <c r="B4" t="n">
        <v>0.106392633270997</v>
      </c>
      <c r="C4" t="n">
        <v>0.09848484848484848</v>
      </c>
      <c r="D4" t="n">
        <v>132</v>
      </c>
      <c r="E4" t="n">
        <v>0.007907784786148481</v>
      </c>
    </row>
    <row r="5">
      <c r="A5" t="n">
        <v>3</v>
      </c>
      <c r="B5" t="n">
        <v>0.1445660074026005</v>
      </c>
      <c r="C5" t="n">
        <v>0.09923664122137404</v>
      </c>
      <c r="D5" t="n">
        <v>131</v>
      </c>
      <c r="E5" t="n">
        <v>0.04532936618122649</v>
      </c>
    </row>
    <row r="6">
      <c r="A6" t="n">
        <v>4</v>
      </c>
      <c r="B6" t="n">
        <v>0.1689019809591428</v>
      </c>
      <c r="C6" t="n">
        <v>0.1287878787878788</v>
      </c>
      <c r="D6" t="n">
        <v>132</v>
      </c>
      <c r="E6" t="n">
        <v>0.04011410217126399</v>
      </c>
    </row>
    <row r="7">
      <c r="A7" t="n">
        <v>5</v>
      </c>
      <c r="B7" t="n">
        <v>0.1907110564864098</v>
      </c>
      <c r="C7" t="n">
        <v>0.1068702290076336</v>
      </c>
      <c r="D7" t="n">
        <v>131</v>
      </c>
      <c r="E7" t="n">
        <v>0.08384082747877621</v>
      </c>
    </row>
    <row r="8">
      <c r="A8" t="n">
        <v>6</v>
      </c>
      <c r="B8" t="n">
        <v>0.2125589292925938</v>
      </c>
      <c r="C8" t="n">
        <v>0.1984732824427481</v>
      </c>
      <c r="D8" t="n">
        <v>131</v>
      </c>
      <c r="E8" t="n">
        <v>0.0140856468498457</v>
      </c>
    </row>
    <row r="9">
      <c r="A9" t="n">
        <v>7</v>
      </c>
      <c r="B9" t="n">
        <v>0.248392884170339</v>
      </c>
      <c r="C9" t="n">
        <v>0.2954545454545455</v>
      </c>
      <c r="D9" t="n">
        <v>132</v>
      </c>
      <c r="E9" t="n">
        <v>0.0470616612842065</v>
      </c>
    </row>
    <row r="10">
      <c r="A10" t="n">
        <v>8</v>
      </c>
      <c r="B10" t="n">
        <v>0.3240026694244934</v>
      </c>
      <c r="C10" t="n">
        <v>0.4198473282442748</v>
      </c>
      <c r="D10" t="n">
        <v>131</v>
      </c>
      <c r="E10" t="n">
        <v>0.09584465881978138</v>
      </c>
    </row>
    <row r="11">
      <c r="A11" t="n">
        <v>9</v>
      </c>
      <c r="B11" t="n">
        <v>0.6000590111763391</v>
      </c>
      <c r="C11" t="n">
        <v>0.6742424242424242</v>
      </c>
      <c r="D11" t="n">
        <v>132</v>
      </c>
      <c r="E11" t="n">
        <v>0.07418341306608511</v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poisson_dispersion</t>
        </is>
      </c>
      <c r="B2" t="n">
        <v>1.431692258064461</v>
      </c>
    </row>
    <row r="3">
      <c r="A3" t="inlineStr">
        <is>
          <t>overdispersed</t>
        </is>
      </c>
      <c r="B3" t="n">
        <v>1</v>
      </c>
    </row>
    <row r="4">
      <c r="A4" t="inlineStr">
        <is>
          <t>model_used</t>
        </is>
      </c>
      <c r="B4" t="inlineStr">
        <is>
          <t>Negative_Binomial</t>
        </is>
      </c>
    </row>
    <row r="5">
      <c r="A5" t="inlineStr">
        <is>
          <t>negbin_alpha</t>
        </is>
      </c>
      <c r="B5" t="n">
        <v>0.4316922580644611</v>
      </c>
    </row>
    <row r="6">
      <c r="A6" t="inlineStr">
        <is>
          <t>aic</t>
        </is>
      </c>
      <c r="B6" t="n">
        <v>5614.124977011173</v>
      </c>
    </row>
    <row r="7">
      <c r="A7" t="inlineStr">
        <is>
          <t>deviance</t>
        </is>
      </c>
      <c r="B7" t="n">
        <v>3016.957846218326</v>
      </c>
    </row>
  </sheetData>
  <autoFilter ref="A1:B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3" customWidth="1" min="3" max="3"/>
    <col width="21" customWidth="1" min="4" max="4"/>
    <col width="25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z_stat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const</t>
        </is>
      </c>
      <c r="B2" t="n">
        <v>-1.113102882100319</v>
      </c>
      <c r="C2" t="n">
        <v>0.05227816321950939</v>
      </c>
      <c r="D2" t="n">
        <v>-21.29192790164683</v>
      </c>
      <c r="E2" t="n">
        <v>1.348643465872175e-100</v>
      </c>
      <c r="F2" t="b">
        <v>1</v>
      </c>
    </row>
    <row r="3">
      <c r="A3" t="inlineStr">
        <is>
          <t>recency_days</t>
        </is>
      </c>
      <c r="B3" t="n">
        <v>-0.008448201552826627</v>
      </c>
      <c r="C3" t="n">
        <v>0.0005924264760476488</v>
      </c>
      <c r="D3" t="n">
        <v>-14.26033760204049</v>
      </c>
      <c r="E3" t="n">
        <v>3.865798099809039e-46</v>
      </c>
      <c r="F3" t="b">
        <v>1</v>
      </c>
    </row>
    <row r="4">
      <c r="A4" t="inlineStr">
        <is>
          <t>frequency</t>
        </is>
      </c>
      <c r="B4" t="n">
        <v>0.0407844162214689</v>
      </c>
      <c r="C4" t="n">
        <v>0.01124554877566083</v>
      </c>
      <c r="D4" t="n">
        <v>3.626716404426627</v>
      </c>
      <c r="E4" t="n">
        <v>0.0002870482594412144</v>
      </c>
      <c r="F4" t="b">
        <v>1</v>
      </c>
    </row>
    <row r="5">
      <c r="A5" t="inlineStr">
        <is>
          <t>gross_total</t>
        </is>
      </c>
      <c r="B5" t="n">
        <v>-2.101856874628985e-07</v>
      </c>
      <c r="C5" t="n">
        <v>7.025605658723412e-08</v>
      </c>
      <c r="D5" t="n">
        <v>-2.99170915182123</v>
      </c>
      <c r="E5" t="n">
        <v>0.002774204305989627</v>
      </c>
      <c r="F5" t="b">
        <v>1</v>
      </c>
    </row>
    <row r="6">
      <c r="A6" t="inlineStr">
        <is>
          <t>net_total</t>
        </is>
      </c>
      <c r="B6" t="n">
        <v>1.603735532099996e-07</v>
      </c>
      <c r="C6" t="n">
        <v>8.182723855138777e-08</v>
      </c>
      <c r="D6" t="n">
        <v>1.9599042574226</v>
      </c>
      <c r="E6" t="n">
        <v>0.0500069819197479</v>
      </c>
      <c r="F6" t="b">
        <v>0</v>
      </c>
    </row>
    <row r="7">
      <c r="A7" t="inlineStr">
        <is>
          <t>return_rate_value</t>
        </is>
      </c>
      <c r="B7" t="n">
        <v>0.04368627531610813</v>
      </c>
      <c r="C7" t="n">
        <v>0.1890955396627296</v>
      </c>
      <c r="D7" t="n">
        <v>0.2310275292269023</v>
      </c>
      <c r="E7" t="n">
        <v>0.8172934152446438</v>
      </c>
      <c r="F7" t="b">
        <v>0</v>
      </c>
    </row>
    <row r="8">
      <c r="A8" t="inlineStr">
        <is>
          <t>avg_basket_gross</t>
        </is>
      </c>
      <c r="B8" t="n">
        <v>1.093216499353379e-06</v>
      </c>
      <c r="C8" t="n">
        <v>2.676124949543468e-07</v>
      </c>
      <c r="D8" t="n">
        <v>4.085072707609844</v>
      </c>
      <c r="E8" t="n">
        <v>4.406301685208499e-05</v>
      </c>
      <c r="F8" t="b">
        <v>1</v>
      </c>
    </row>
    <row r="9">
      <c r="A9" t="inlineStr">
        <is>
          <t>n_events</t>
        </is>
      </c>
      <c r="B9" t="n">
        <v>0.01213120844611472</v>
      </c>
      <c r="C9" t="n">
        <v>0.009415577623352715</v>
      </c>
      <c r="D9" t="n">
        <v>1.288418929925939</v>
      </c>
      <c r="E9" t="n">
        <v>0.1976001727048733</v>
      </c>
      <c r="F9" t="b">
        <v>0</v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1" customWidth="1" min="4" max="4"/>
    <col width="24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const</t>
        </is>
      </c>
      <c r="B2" t="n">
        <v>10.33340893634929</v>
      </c>
      <c r="C2" t="n">
        <v>0.4480054878388136</v>
      </c>
      <c r="D2" t="n">
        <v>23.06536240481749</v>
      </c>
      <c r="E2" t="n">
        <v>5.921408066264762e-106</v>
      </c>
      <c r="F2" t="b">
        <v>1</v>
      </c>
    </row>
    <row r="3">
      <c r="A3" t="inlineStr">
        <is>
          <t>month</t>
        </is>
      </c>
      <c r="B3" t="n">
        <v>0.01770214453143956</v>
      </c>
      <c r="C3" t="n">
        <v>0.02229900469095468</v>
      </c>
      <c r="D3" t="n">
        <v>0.7938535722457702</v>
      </c>
      <c r="E3" t="n">
        <v>0.4273634738132419</v>
      </c>
      <c r="F3" t="b">
        <v>0</v>
      </c>
    </row>
    <row r="4">
      <c r="A4" t="inlineStr">
        <is>
          <t>weekday</t>
        </is>
      </c>
      <c r="B4" t="n">
        <v>0.01632862422370657</v>
      </c>
      <c r="C4" t="n">
        <v>0.03755343620588385</v>
      </c>
      <c r="D4" t="n">
        <v>0.4348103894990099</v>
      </c>
      <c r="E4" t="n">
        <v>0.6637413031836142</v>
      </c>
      <c r="F4" t="b">
        <v>0</v>
      </c>
    </row>
    <row r="5">
      <c r="A5" t="inlineStr">
        <is>
          <t>hour</t>
        </is>
      </c>
      <c r="B5" t="n">
        <v>-0.2339429985915588</v>
      </c>
      <c r="C5" t="n">
        <v>0.03104956687251946</v>
      </c>
      <c r="D5" t="n">
        <v>-7.534501191339031</v>
      </c>
      <c r="E5" t="n">
        <v>7.030366964980143e-14</v>
      </c>
      <c r="F5" t="b">
        <v>1</v>
      </c>
    </row>
    <row r="6">
      <c r="A6" t="inlineStr">
        <is>
          <t>n_items</t>
        </is>
      </c>
      <c r="B6" t="n">
        <v>0.001143824839459326</v>
      </c>
      <c r="C6" t="n">
        <v>0.0001576822962628372</v>
      </c>
      <c r="D6" t="n">
        <v>7.253983906682266</v>
      </c>
      <c r="E6" t="n">
        <v>5.523141082777733e-13</v>
      </c>
      <c r="F6" t="b">
        <v>1</v>
      </c>
    </row>
    <row r="7">
      <c r="A7" t="inlineStr">
        <is>
          <t>n_distinct_products</t>
        </is>
      </c>
      <c r="B7" t="n">
        <v>0.2510473459743239</v>
      </c>
      <c r="C7" t="n">
        <v>0.04350580492121266</v>
      </c>
      <c r="D7" t="n">
        <v>5.770433311806572</v>
      </c>
      <c r="E7" t="n">
        <v>8.985067049870404e-09</v>
      </c>
      <c r="F7" t="b">
        <v>1</v>
      </c>
    </row>
    <row r="8">
      <c r="A8" t="inlineStr">
        <is>
          <t>n_lines</t>
        </is>
      </c>
      <c r="B8" t="n">
        <v>-0.173510264565906</v>
      </c>
      <c r="C8" t="n">
        <v>0.04052470677224243</v>
      </c>
      <c r="D8" t="n">
        <v>-4.281592104813268</v>
      </c>
      <c r="E8" t="n">
        <v>1.932631868504207e-05</v>
      </c>
      <c r="F8" t="b">
        <v>1</v>
      </c>
    </row>
  </sheetData>
  <autoFilter ref="A1:F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22" customWidth="1" min="4" max="4"/>
    <col width="22" customWidth="1" min="5" max="5"/>
    <col width="23" customWidth="1" min="6" max="6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point_estimate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std_error</t>
        </is>
      </c>
    </row>
    <row r="2">
      <c r="A2" t="inlineStr">
        <is>
          <t>Baseline_Y2</t>
        </is>
      </c>
      <c r="B2" t="inlineStr">
        <is>
          <t>ERPU_mean</t>
        </is>
      </c>
      <c r="C2" t="n">
        <v>403242.2301327434</v>
      </c>
      <c r="D2" t="n">
        <v>366915.5894547689</v>
      </c>
      <c r="E2" t="n">
        <v>442663.6397978737</v>
      </c>
      <c r="F2" t="n">
        <v>19043.91958863027</v>
      </c>
    </row>
    <row r="3">
      <c r="A3" t="inlineStr">
        <is>
          <t>Baseline_Y2</t>
        </is>
      </c>
      <c r="B3" t="inlineStr">
        <is>
          <t>top10_user_share</t>
        </is>
      </c>
      <c r="C3" t="n">
        <v>0.5203166901339867</v>
      </c>
      <c r="D3" t="n">
        <v>0.4822757272616427</v>
      </c>
      <c r="E3" t="n">
        <v>0.5631199311436529</v>
      </c>
      <c r="F3" t="n">
        <v>0.02092698513792992</v>
      </c>
    </row>
    <row r="4">
      <c r="A4" t="inlineStr">
        <is>
          <t>Baseline_Y2</t>
        </is>
      </c>
      <c r="B4" t="inlineStr">
        <is>
          <t>return_rate_mean</t>
        </is>
      </c>
      <c r="C4" t="n">
        <v>0.02575902004749965</v>
      </c>
      <c r="D4" t="n">
        <v>0.02109128939428026</v>
      </c>
      <c r="E4" t="n">
        <v>0.03109608631591777</v>
      </c>
      <c r="F4" t="n">
        <v>0.002558587576496992</v>
      </c>
    </row>
    <row r="5">
      <c r="A5" t="inlineStr">
        <is>
          <t>Shock</t>
        </is>
      </c>
      <c r="B5" t="inlineStr">
        <is>
          <t>ERPU_mean</t>
        </is>
      </c>
      <c r="C5" t="n">
        <v>147097.1896837667</v>
      </c>
      <c r="D5" t="n">
        <v>134415.3655456782</v>
      </c>
      <c r="E5" t="n">
        <v>160164.8049242797</v>
      </c>
      <c r="F5" t="n">
        <v>6704.579326547287</v>
      </c>
    </row>
    <row r="6">
      <c r="A6" t="inlineStr">
        <is>
          <t>Shock</t>
        </is>
      </c>
      <c r="B6" t="inlineStr">
        <is>
          <t>top10_user_share</t>
        </is>
      </c>
      <c r="C6" t="n">
        <v>0.4218128852997891</v>
      </c>
      <c r="D6" t="n">
        <v>0.380364713324582</v>
      </c>
      <c r="E6" t="n">
        <v>0.4623627021076519</v>
      </c>
      <c r="F6" t="n">
        <v>0.02075606515047457</v>
      </c>
    </row>
    <row r="7">
      <c r="A7" t="inlineStr">
        <is>
          <t>Shock</t>
        </is>
      </c>
      <c r="B7" t="inlineStr">
        <is>
          <t>return_rate_mean</t>
        </is>
      </c>
      <c r="C7" t="n">
        <v>0.01895782108891823</v>
      </c>
      <c r="D7" t="n">
        <v>0.01252852552279257</v>
      </c>
      <c r="E7" t="n">
        <v>0.02657150921499907</v>
      </c>
      <c r="F7" t="n">
        <v>0.003509125299100863</v>
      </c>
    </row>
  </sheetData>
  <autoFilter ref="A1:F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23" customWidth="1" min="5" max="5"/>
    <col width="22" customWidth="1" min="6" max="6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with_adj</t>
        </is>
      </c>
      <c r="D1" s="1" t="inlineStr">
        <is>
          <t>without_adj</t>
        </is>
      </c>
      <c r="E1" s="1" t="inlineStr">
        <is>
          <t>delta</t>
        </is>
      </c>
      <c r="F1" s="1" t="inlineStr">
        <is>
          <t>delta_pct</t>
        </is>
      </c>
    </row>
    <row r="2">
      <c r="A2" t="inlineStr">
        <is>
          <t>Baseline_Y2</t>
        </is>
      </c>
      <c r="B2" t="inlineStr">
        <is>
          <t>ERPU_mean</t>
        </is>
      </c>
      <c r="C2" t="n">
        <v>403242.2301327434</v>
      </c>
      <c r="D2" t="n">
        <v>405181.8785066535</v>
      </c>
      <c r="E2" t="n">
        <v>1939.648373910168</v>
      </c>
      <c r="F2" t="n">
        <v>0.4810132047111372</v>
      </c>
    </row>
    <row r="3">
      <c r="A3" t="inlineStr">
        <is>
          <t>Baseline_Y2</t>
        </is>
      </c>
      <c r="B3" t="inlineStr">
        <is>
          <t>return_pct_of_gross</t>
        </is>
      </c>
      <c r="C3" t="n">
        <v>7.793018863317898</v>
      </c>
      <c r="D3" t="n">
        <v>3.118789778191192</v>
      </c>
      <c r="E3" t="n">
        <v>-4.674229085126706</v>
      </c>
      <c r="F3" t="n">
        <v>-59.9796967915543</v>
      </c>
    </row>
    <row r="4">
      <c r="A4" t="inlineStr">
        <is>
          <t>Baseline_Y2</t>
        </is>
      </c>
      <c r="B4" t="inlineStr">
        <is>
          <t>top10_user_share</t>
        </is>
      </c>
      <c r="C4" t="n">
        <v>0.5203166901339867</v>
      </c>
      <c r="D4" t="n">
        <v>0.5100347634500876</v>
      </c>
      <c r="E4" t="n">
        <v>-0.01028192668389916</v>
      </c>
      <c r="F4" t="n">
        <v>-1.976090115666184</v>
      </c>
    </row>
    <row r="5">
      <c r="A5" t="inlineStr">
        <is>
          <t>Baseline_Y2</t>
        </is>
      </c>
      <c r="B5" t="inlineStr">
        <is>
          <t>net_revenue</t>
        </is>
      </c>
      <c r="C5" t="n">
        <v>1640389392.18</v>
      </c>
      <c r="D5" t="n">
        <v>1644228062.98</v>
      </c>
      <c r="E5" t="n">
        <v>3838670.799999952</v>
      </c>
      <c r="F5" t="n">
        <v>0.2340097307565822</v>
      </c>
    </row>
    <row r="6">
      <c r="A6" t="inlineStr">
        <is>
          <t>Baseline_Y2</t>
        </is>
      </c>
      <c r="B6" t="inlineStr">
        <is>
          <t>adj_rows_excluded</t>
        </is>
      </c>
      <c r="C6" t="n">
        <v>323055</v>
      </c>
      <c r="D6" t="n">
        <v>321658</v>
      </c>
      <c r="E6" t="n">
        <v>-1397</v>
      </c>
      <c r="F6" t="n">
        <v>-0.4324341056476452</v>
      </c>
    </row>
    <row r="7">
      <c r="A7" t="inlineStr">
        <is>
          <t>Shock</t>
        </is>
      </c>
      <c r="B7" t="inlineStr">
        <is>
          <t>ERPU_mean</t>
        </is>
      </c>
      <c r="C7" t="n">
        <v>147097.1896837667</v>
      </c>
      <c r="D7" t="n">
        <v>147741.003955809</v>
      </c>
      <c r="E7" t="n">
        <v>643.8142720422766</v>
      </c>
      <c r="F7" t="n">
        <v>0.4376795188448976</v>
      </c>
    </row>
    <row r="8">
      <c r="A8" t="inlineStr">
        <is>
          <t>Shock</t>
        </is>
      </c>
      <c r="B8" t="inlineStr">
        <is>
          <t>return_pct_of_gross</t>
        </is>
      </c>
      <c r="C8" t="n">
        <v>4.817798888340133</v>
      </c>
      <c r="D8" t="n">
        <v>2.542650311558431</v>
      </c>
      <c r="E8" t="n">
        <v>-2.275148576781702</v>
      </c>
      <c r="F8" t="n">
        <v>-47.22381796151634</v>
      </c>
    </row>
    <row r="9">
      <c r="A9" t="inlineStr">
        <is>
          <t>Shock</t>
        </is>
      </c>
      <c r="B9" t="inlineStr">
        <is>
          <t>top10_user_share</t>
        </is>
      </c>
      <c r="C9" t="n">
        <v>0.4218128852997891</v>
      </c>
      <c r="D9" t="n">
        <v>0.4161811985686398</v>
      </c>
      <c r="E9" t="n">
        <v>-0.005631686731149277</v>
      </c>
      <c r="F9" t="n">
        <v>-1.33511491170943</v>
      </c>
    </row>
    <row r="10">
      <c r="A10" t="inlineStr">
        <is>
          <t>Shock</t>
        </is>
      </c>
      <c r="B10" t="inlineStr">
        <is>
          <t>net_revenue</t>
        </is>
      </c>
      <c r="C10" t="n">
        <v>209319300.92</v>
      </c>
      <c r="D10" t="n">
        <v>207280628.55</v>
      </c>
      <c r="E10" t="n">
        <v>-2038672.370000005</v>
      </c>
      <c r="F10" t="n">
        <v>-0.9739533626567801</v>
      </c>
    </row>
    <row r="11">
      <c r="A11" t="inlineStr">
        <is>
          <t>Shock</t>
        </is>
      </c>
      <c r="B11" t="inlineStr">
        <is>
          <t>adj_rows_excluded</t>
        </is>
      </c>
      <c r="C11" t="n">
        <v>42153</v>
      </c>
      <c r="D11" t="n">
        <v>41971</v>
      </c>
      <c r="E11" t="n">
        <v>-182</v>
      </c>
      <c r="F11" t="n">
        <v>-0.4317604915427135</v>
      </c>
    </row>
  </sheetData>
  <autoFilter ref="A1:F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silhouette_score</t>
        </is>
      </c>
      <c r="B2" t="n">
        <v>0.4015453544703389</v>
      </c>
    </row>
    <row r="3">
      <c r="A3" t="inlineStr">
        <is>
          <t>ari_mean</t>
        </is>
      </c>
      <c r="B3" t="n">
        <v>0.8862949542852204</v>
      </c>
    </row>
    <row r="4">
      <c r="A4" t="inlineStr">
        <is>
          <t>ari_std</t>
        </is>
      </c>
      <c r="B4" t="n">
        <v>0.2050541784100933</v>
      </c>
    </row>
    <row r="5">
      <c r="A5" t="inlineStr">
        <is>
          <t>ari_min</t>
        </is>
      </c>
      <c r="B5" t="n">
        <v>0.2801622981092116</v>
      </c>
    </row>
    <row r="6">
      <c r="A6" t="inlineStr">
        <is>
          <t>ari_max</t>
        </is>
      </c>
      <c r="B6" t="n">
        <v>0.9927727516576108</v>
      </c>
    </row>
    <row r="7">
      <c r="A7" t="inlineStr">
        <is>
          <t>n_resamples</t>
        </is>
      </c>
      <c r="B7" t="n">
        <v>10</v>
      </c>
    </row>
  </sheetData>
  <autoFilter ref="A1:B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Baseline_Y2</t>
        </is>
      </c>
      <c r="C1" t="inlineStr">
        <is>
          <t>Shock</t>
        </is>
      </c>
    </row>
    <row r="2">
      <c r="A2" t="inlineStr">
        <is>
          <t>Top10 User Share</t>
        </is>
      </c>
      <c r="B2" t="n">
        <v>0.5203166901339867</v>
      </c>
      <c r="C2" t="n">
        <v>0.4218128852997891</v>
      </c>
    </row>
    <row r="3">
      <c r="A3" t="inlineStr">
        <is>
          <t>Top1 User Share</t>
        </is>
      </c>
      <c r="B3" t="n">
        <v>0.2026185883696136</v>
      </c>
      <c r="C3" t="n">
        <v>0.1286749889361325</v>
      </c>
    </row>
    <row r="4">
      <c r="A4" t="inlineStr">
        <is>
          <t>Gini</t>
        </is>
      </c>
      <c r="B4" t="n">
        <v>0.6357436947844802</v>
      </c>
      <c r="C4" t="n">
        <v>0.5565753621066875</v>
      </c>
    </row>
    <row r="5">
      <c r="A5" t="inlineStr">
        <is>
          <t>Return % of Gross</t>
        </is>
      </c>
      <c r="B5" t="n">
        <v>0.07793018863317898</v>
      </c>
      <c r="C5" t="n">
        <v>0.04817798888340133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2026-02-28T14:17:25Z</dcterms:created>
  <dcterms:modified xmlns:dcterms="http://purl.org/dc/terms/" xmlns:xsi="http://www.w3.org/2001/XMLSchema-instance" xsi:type="dcterms:W3CDTF">2026-02-28T14:17:25Z</dcterms:modified>
</cp:coreProperties>
</file>